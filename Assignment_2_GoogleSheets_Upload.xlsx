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llege Study Material 2nd year\Winter Semester\Chemical Plant Design and Economics\"/>
    </mc:Choice>
  </mc:AlternateContent>
  <xr:revisionPtr revIDLastSave="0" documentId="13_ncr:1_{710E8555-9C14-4AD0-9491-CCB746EDFEC5}" xr6:coauthVersionLast="47" xr6:coauthVersionMax="47" xr10:uidLastSave="{00000000-0000-0000-0000-000000000000}"/>
  <bookViews>
    <workbookView xWindow="-108" yWindow="-108" windowWidth="23256" windowHeight="13176" xr2:uid="{277351A3-993F-45DB-B598-1DDF0E8DB408}"/>
  </bookViews>
  <sheets>
    <sheet name="Sheet2" sheetId="2" r:id="rId1"/>
    <sheet name="Sheet1" sheetId="3" r:id="rId2"/>
  </sheets>
  <definedNames>
    <definedName name="solver_adj" localSheetId="1" hidden="1">Sheet1!$D$4:$D$5,Sheet1!$D$9:$D$16,Sheet1!$D$23:$D$26</definedName>
    <definedName name="solver_adj" localSheetId="0" hidden="1">Sheet2!$D$5:$D$13,Sheet2!$D$16:$D$22,Sheet2!$D$26,Sheet2!$D$32:$D$35,Sheet2!$E$14,Sheet2!$E$23,Sheet2!$E$37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Sheet1!$D$23:$D$26</definedName>
    <definedName name="solver_lhs1" localSheetId="0" hidden="1">Sheet2!$D$16:$D$22</definedName>
    <definedName name="solver_lhs10" localSheetId="0" hidden="1">Sheet2!$E$32</definedName>
    <definedName name="solver_lhs11" localSheetId="0" hidden="1">Sheet2!$E$5</definedName>
    <definedName name="solver_lhs2" localSheetId="1" hidden="1">Sheet1!$D$23:$D$26</definedName>
    <definedName name="solver_lhs2" localSheetId="0" hidden="1">Sheet2!$D$16:$D$22</definedName>
    <definedName name="solver_lhs3" localSheetId="1" hidden="1">Sheet1!$D$4:$D$5</definedName>
    <definedName name="solver_lhs3" localSheetId="0" hidden="1">Sheet2!$D$26</definedName>
    <definedName name="solver_lhs4" localSheetId="1" hidden="1">Sheet1!$D$4:$D$5</definedName>
    <definedName name="solver_lhs4" localSheetId="0" hidden="1">Sheet2!$D$26</definedName>
    <definedName name="solver_lhs5" localSheetId="1" hidden="1">Sheet1!$D$9:$D$16</definedName>
    <definedName name="solver_lhs5" localSheetId="0" hidden="1">Sheet2!$D$32:$D$35</definedName>
    <definedName name="solver_lhs6" localSheetId="1" hidden="1">Sheet1!$D$9:$D$16</definedName>
    <definedName name="solver_lhs6" localSheetId="0" hidden="1">Sheet2!$D$32:$D$35</definedName>
    <definedName name="solver_lhs7" localSheetId="1" hidden="1">Sheet1!$E$5</definedName>
    <definedName name="solver_lhs7" localSheetId="0" hidden="1">Sheet2!$D$6:$D$13</definedName>
    <definedName name="solver_lhs8" localSheetId="0" hidden="1">Sheet2!$D$6:$D$13</definedName>
    <definedName name="solver_lhs9" localSheetId="0" hidden="1">Sheet2!$E$16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7</definedName>
    <definedName name="solver_num" localSheetId="0" hidden="1">11</definedName>
    <definedName name="solver_nwt" localSheetId="1" hidden="1">1</definedName>
    <definedName name="solver_nwt" localSheetId="0" hidden="1">1</definedName>
    <definedName name="solver_opt" localSheetId="1" hidden="1">Sheet1!$E$31</definedName>
    <definedName name="solver_opt" localSheetId="0" hidden="1">Sheet2!$E$39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1</definedName>
    <definedName name="solver_rel1" localSheetId="0" hidden="1">1</definedName>
    <definedName name="solver_rel10" localSheetId="0" hidden="1">2</definedName>
    <definedName name="solver_rel11" localSheetId="0" hidden="1">2</definedName>
    <definedName name="solver_rel2" localSheetId="1" hidden="1">3</definedName>
    <definedName name="solver_rel2" localSheetId="0" hidden="1">3</definedName>
    <definedName name="solver_rel3" localSheetId="1" hidden="1">1</definedName>
    <definedName name="solver_rel3" localSheetId="0" hidden="1">1</definedName>
    <definedName name="solver_rel4" localSheetId="1" hidden="1">3</definedName>
    <definedName name="solver_rel4" localSheetId="0" hidden="1">3</definedName>
    <definedName name="solver_rel5" localSheetId="1" hidden="1">1</definedName>
    <definedName name="solver_rel5" localSheetId="0" hidden="1">1</definedName>
    <definedName name="solver_rel6" localSheetId="1" hidden="1">3</definedName>
    <definedName name="solver_rel6" localSheetId="0" hidden="1">3</definedName>
    <definedName name="solver_rel7" localSheetId="1" hidden="1">2</definedName>
    <definedName name="solver_rel7" localSheetId="0" hidden="1">1</definedName>
    <definedName name="solver_rel8" localSheetId="0" hidden="1">3</definedName>
    <definedName name="solver_rel9" localSheetId="0" hidden="1">2</definedName>
    <definedName name="solver_rhs1" localSheetId="1" hidden="1">Sheet1!$C$23:$C$26</definedName>
    <definedName name="solver_rhs1" localSheetId="0" hidden="1">Sheet2!$C$16:$C$22</definedName>
    <definedName name="solver_rhs10" localSheetId="0" hidden="1">Sheet2!$E$37</definedName>
    <definedName name="solver_rhs11" localSheetId="0" hidden="1">Sheet2!$E$14</definedName>
    <definedName name="solver_rhs2" localSheetId="1" hidden="1">Sheet1!$B$23:$B$26</definedName>
    <definedName name="solver_rhs2" localSheetId="0" hidden="1">Sheet2!$B$16:$B$22</definedName>
    <definedName name="solver_rhs3" localSheetId="1" hidden="1">Sheet1!$C$4:$C$5</definedName>
    <definedName name="solver_rhs3" localSheetId="0" hidden="1">Sheet2!$C$26</definedName>
    <definedName name="solver_rhs4" localSheetId="1" hidden="1">Sheet1!$B$4:$B$5</definedName>
    <definedName name="solver_rhs4" localSheetId="0" hidden="1">Sheet2!$B$26</definedName>
    <definedName name="solver_rhs5" localSheetId="1" hidden="1">Sheet1!$C$9:$C$16</definedName>
    <definedName name="solver_rhs5" localSheetId="0" hidden="1">Sheet2!$C$32:$C$35</definedName>
    <definedName name="solver_rhs6" localSheetId="1" hidden="1">Sheet1!$B$9:$B$16</definedName>
    <definedName name="solver_rhs6" localSheetId="0" hidden="1">Sheet2!$B$32:$B$35</definedName>
    <definedName name="solver_rhs7" localSheetId="1" hidden="1">Sheet1!$E$30</definedName>
    <definedName name="solver_rhs7" localSheetId="0" hidden="1">Sheet2!$C$6:$C$13</definedName>
    <definedName name="solver_rhs8" localSheetId="0" hidden="1">Sheet2!$B$6:$B$13</definedName>
    <definedName name="solver_rhs9" localSheetId="0" hidden="1">Sheet2!$E$23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3</definedName>
    <definedName name="solver_typ" localSheetId="0" hidden="1">3</definedName>
    <definedName name="solver_val" localSheetId="1" hidden="1">100000</definedName>
    <definedName name="solver_val" localSheetId="0" hidden="1">100000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E5" i="2"/>
  <c r="E26" i="2"/>
  <c r="E22" i="2"/>
  <c r="E13" i="2"/>
  <c r="E9" i="2"/>
  <c r="E7" i="2"/>
  <c r="E8" i="2" s="1"/>
  <c r="E12" i="2" s="1"/>
  <c r="E6" i="2"/>
  <c r="E33" i="2"/>
  <c r="E34" i="2"/>
  <c r="E35" i="2"/>
  <c r="E32" i="2"/>
  <c r="E26" i="3"/>
  <c r="E25" i="3"/>
  <c r="E24" i="3"/>
  <c r="E5" i="3"/>
  <c r="E11" i="2" s="1"/>
  <c r="E4" i="3"/>
  <c r="B4" i="3"/>
  <c r="C34" i="2"/>
  <c r="B34" i="2"/>
  <c r="C33" i="2"/>
  <c r="B33" i="2"/>
  <c r="C32" i="2"/>
  <c r="B32" i="2"/>
  <c r="C26" i="2"/>
  <c r="B26" i="2"/>
  <c r="C22" i="2"/>
  <c r="B22" i="2"/>
  <c r="C21" i="2"/>
  <c r="B21" i="2"/>
  <c r="C20" i="2"/>
  <c r="B20" i="2"/>
  <c r="C19" i="2"/>
  <c r="B19" i="2"/>
  <c r="C16" i="2"/>
  <c r="B16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E19" i="2" l="1"/>
  <c r="E20" i="2"/>
  <c r="E9" i="3"/>
  <c r="E16" i="3" s="1"/>
  <c r="E10" i="2"/>
  <c r="E15" i="3" l="1"/>
  <c r="E14" i="3"/>
  <c r="E13" i="3"/>
  <c r="E12" i="3"/>
  <c r="E10" i="3"/>
  <c r="E11" i="3"/>
  <c r="E18" i="3" l="1"/>
  <c r="E23" i="3" s="1"/>
  <c r="E28" i="3" s="1"/>
  <c r="E30" i="3" s="1"/>
  <c r="E31" i="3" s="1"/>
  <c r="E28" i="2" l="1"/>
  <c r="E39" i="2" s="1"/>
</calcChain>
</file>

<file path=xl/sharedStrings.xml><?xml version="1.0" encoding="utf-8"?>
<sst xmlns="http://schemas.openxmlformats.org/spreadsheetml/2006/main" count="76" uniqueCount="56">
  <si>
    <t>Direct Costs</t>
  </si>
  <si>
    <t>Rate(%)</t>
  </si>
  <si>
    <t>Lower Limit</t>
  </si>
  <si>
    <t>Upper Limit</t>
  </si>
  <si>
    <t>Purchased Equipment Cost [PEC] (15-40% of FCI)</t>
  </si>
  <si>
    <t>Installation Costs  (25-55% of PEC)</t>
  </si>
  <si>
    <t>Instrumentation Costs (8-50% of PEC)</t>
  </si>
  <si>
    <t>Piping Cost (10-80% of PEC)</t>
  </si>
  <si>
    <t>Electricity Costs (10-40% of PEC)</t>
  </si>
  <si>
    <t>Buildings, process, and auxiliary (10-70% of PEC)</t>
  </si>
  <si>
    <t>Service facilities and yard improvements (40-100% of PEC)</t>
  </si>
  <si>
    <t>Land (4-8% of PEC)</t>
  </si>
  <si>
    <t>Selected %</t>
  </si>
  <si>
    <t>Cost</t>
  </si>
  <si>
    <t>Indirect Costs</t>
  </si>
  <si>
    <t>Engineering and Supervision (5-30% of Direct Costs)</t>
  </si>
  <si>
    <t>Legal Expenses (1-3% of FCI)</t>
  </si>
  <si>
    <t>Construction Expense and Contractor's fee (10-20% of FCI)</t>
  </si>
  <si>
    <t>Contingency (5-15% of FCI)</t>
  </si>
  <si>
    <t>Total Indirect Costs</t>
  </si>
  <si>
    <t>Total FCI</t>
  </si>
  <si>
    <t>(supposed value)</t>
  </si>
  <si>
    <t>Total Direct Costs</t>
  </si>
  <si>
    <t>I. Manufacturing Costs</t>
  </si>
  <si>
    <t>A. Direct Production Costs (about 66% of TCP)</t>
  </si>
  <si>
    <t>Raw Materials (10 - 80% of TCP)</t>
  </si>
  <si>
    <t>Operating Labour (10-20% of TCP)</t>
  </si>
  <si>
    <t>Direct Supervisory and clerical labour (10-20% of Operating Labour)</t>
  </si>
  <si>
    <t>Utilities (10-20% of TCP)</t>
  </si>
  <si>
    <t>Maintenance and Repairs (2-10% of FCI)</t>
  </si>
  <si>
    <t>Operating Supplies (0.5-1% of FCI)</t>
  </si>
  <si>
    <t>Laboratory Charges (10-20% of Operating Labour)</t>
  </si>
  <si>
    <t>Patents and Royalties (0-6% of TCP)</t>
  </si>
  <si>
    <t>Total Direct Production Costs</t>
  </si>
  <si>
    <t>B. Fixed Charges (10-20% of TCP)</t>
  </si>
  <si>
    <t>Depreciation</t>
  </si>
  <si>
    <t>Local Taxes (1-4% of FCI)</t>
  </si>
  <si>
    <t>Insurance (0.4-1% of FCI)</t>
  </si>
  <si>
    <t>Rent (8-12% of value of rented land and buildings)</t>
  </si>
  <si>
    <t>Financing (interest) (0-10% of TCP)</t>
  </si>
  <si>
    <t>Total Fixed Charges</t>
  </si>
  <si>
    <t>C. Plant Overhead Costs (5-15% of TCP)</t>
  </si>
  <si>
    <t xml:space="preserve">Total Manufacturing Cost </t>
  </si>
  <si>
    <t>II. General Expenses (15-25% of TCP)</t>
  </si>
  <si>
    <t>A. Administrative Costs (2-5% of TCP)</t>
  </si>
  <si>
    <t>B. Distribution and Marketing Costs (2-20% of TCP)</t>
  </si>
  <si>
    <t>C. Research and Development Costs ( About 5% of TCP)</t>
  </si>
  <si>
    <t>Total General Expenses</t>
  </si>
  <si>
    <t>Total Product Cost</t>
  </si>
  <si>
    <t>Total Capital Investment [TCI]</t>
  </si>
  <si>
    <t>Total Product Costs [TCP]</t>
  </si>
  <si>
    <t>Working Capital</t>
  </si>
  <si>
    <t>Fixed Capital Investment</t>
  </si>
  <si>
    <t>Total Capital Investment</t>
  </si>
  <si>
    <t>IV. Gross Earnings Cost</t>
  </si>
  <si>
    <t xml:space="preserve">   (supposed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</si>
</sst>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1" xfId="0" applyBorder="1"/>
    <xf numFmtId="0" fontId="0" fillId="4" borderId="1" xfId="0" applyFill="1" applyBorder="1"/>
    <xf numFmtId="0" fontId="0" fillId="4" borderId="2" xfId="0" applyFill="1" applyBorder="1"/>
    <xf numFmtId="0" fontId="0" fillId="3" borderId="1" xfId="0" applyFill="1" applyBorder="1"/>
    <xf numFmtId="0" fontId="0" fillId="3" borderId="2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0" fillId="3" borderId="8" xfId="0" applyFill="1" applyBorder="1"/>
    <xf numFmtId="0" fontId="0" fillId="2" borderId="1" xfId="0" applyFill="1" applyBorder="1"/>
    <xf numFmtId="9" fontId="0" fillId="0" borderId="0" xfId="0" applyNumberFormat="1"/>
    <xf numFmtId="9" fontId="0" fillId="0" borderId="1" xfId="0" applyNumberFormat="1" applyBorder="1"/>
    <xf numFmtId="9" fontId="0" fillId="0" borderId="2" xfId="0" applyNumberFormat="1" applyBorder="1"/>
    <xf numFmtId="0" fontId="0" fillId="0" borderId="8" xfId="0" applyBorder="1"/>
    <xf numFmtId="0" fontId="0" fillId="0" borderId="5" xfId="0" applyBorder="1"/>
    <xf numFmtId="0" fontId="0" fillId="3" borderId="2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4" borderId="8" xfId="0" applyFill="1" applyBorder="1"/>
    <xf numFmtId="0" fontId="0" fillId="4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F548-9B46-4EDF-8ABB-EAC3A25263A8}">
  <dimension ref="A1:J39"/>
  <sheetViews>
    <sheetView tabSelected="1" workbookViewId="0">
      <selection activeCell="E32" sqref="E32"/>
    </sheetView>
  </sheetViews>
  <sheetFormatPr defaultRowHeight="14.4" x14ac:dyDescent="0.3"/>
  <cols>
    <col min="1" max="1" width="60.77734375" customWidth="1"/>
    <col min="2" max="2" width="15.33203125" customWidth="1"/>
    <col min="3" max="3" width="13.5546875" customWidth="1"/>
    <col min="4" max="4" width="17.21875" customWidth="1"/>
    <col min="5" max="5" width="15.77734375" customWidth="1"/>
    <col min="8" max="8" width="24.33203125" customWidth="1"/>
    <col min="9" max="9" width="10.6640625" customWidth="1"/>
    <col min="10" max="10" width="18" customWidth="1"/>
  </cols>
  <sheetData>
    <row r="1" spans="1:10" x14ac:dyDescent="0.3">
      <c r="H1" s="1" t="s">
        <v>50</v>
      </c>
      <c r="I1">
        <v>100000</v>
      </c>
      <c r="J1" t="s">
        <v>55</v>
      </c>
    </row>
    <row r="3" spans="1:10" x14ac:dyDescent="0.3">
      <c r="A3" s="1" t="s">
        <v>23</v>
      </c>
      <c r="B3" s="9" t="s">
        <v>1</v>
      </c>
      <c r="C3" s="10"/>
      <c r="D3" s="11"/>
      <c r="E3" s="12" t="s">
        <v>13</v>
      </c>
    </row>
    <row r="4" spans="1:10" x14ac:dyDescent="0.3">
      <c r="B4" s="3" t="s">
        <v>2</v>
      </c>
      <c r="C4" s="3" t="s">
        <v>3</v>
      </c>
      <c r="D4" s="3" t="s">
        <v>12</v>
      </c>
      <c r="E4" s="3"/>
    </row>
    <row r="5" spans="1:10" x14ac:dyDescent="0.3">
      <c r="A5" s="5" t="s">
        <v>24</v>
      </c>
      <c r="B5" s="2"/>
      <c r="C5" s="2"/>
      <c r="D5" s="2">
        <v>0.67666421813562772</v>
      </c>
      <c r="E5" s="2">
        <f>$D$5*$I$1</f>
        <v>67666.421813562774</v>
      </c>
    </row>
    <row r="6" spans="1:10" x14ac:dyDescent="0.3">
      <c r="A6" s="2" t="s">
        <v>25</v>
      </c>
      <c r="B6" s="2">
        <f>10%</f>
        <v>0.1</v>
      </c>
      <c r="C6" s="2">
        <f>80%</f>
        <v>0.8</v>
      </c>
      <c r="D6" s="2">
        <v>0.31118716459426232</v>
      </c>
      <c r="E6" s="2">
        <f>$D$6*$I$1</f>
        <v>31118.716459426232</v>
      </c>
    </row>
    <row r="7" spans="1:10" x14ac:dyDescent="0.3">
      <c r="A7" s="2" t="s">
        <v>26</v>
      </c>
      <c r="B7" s="2">
        <f>10%</f>
        <v>0.1</v>
      </c>
      <c r="C7" s="2">
        <f>20%</f>
        <v>0.2</v>
      </c>
      <c r="D7" s="2">
        <v>0.13022066737799068</v>
      </c>
      <c r="E7" s="2">
        <f>$D$7*$I$1</f>
        <v>13022.066737799069</v>
      </c>
    </row>
    <row r="8" spans="1:10" x14ac:dyDescent="0.3">
      <c r="A8" s="2" t="s">
        <v>27</v>
      </c>
      <c r="B8" s="2">
        <f>10%</f>
        <v>0.1</v>
      </c>
      <c r="C8" s="2">
        <f>20%</f>
        <v>0.2</v>
      </c>
      <c r="D8" s="2">
        <v>0.1252333206685434</v>
      </c>
      <c r="E8" s="2">
        <f>$D$8*$E$7</f>
        <v>1630.7966595419637</v>
      </c>
    </row>
    <row r="9" spans="1:10" x14ac:dyDescent="0.3">
      <c r="A9" s="2" t="s">
        <v>28</v>
      </c>
      <c r="B9" s="2">
        <f>10%</f>
        <v>0.1</v>
      </c>
      <c r="C9" s="2">
        <f>20%</f>
        <v>0.2</v>
      </c>
      <c r="D9" s="2">
        <v>0.12561694329816703</v>
      </c>
      <c r="E9" s="2">
        <f>$D$9*$I$1</f>
        <v>12561.694329816703</v>
      </c>
    </row>
    <row r="10" spans="1:10" x14ac:dyDescent="0.3">
      <c r="A10" s="2" t="s">
        <v>29</v>
      </c>
      <c r="B10" s="2">
        <f>2%</f>
        <v>0.02</v>
      </c>
      <c r="C10" s="2">
        <f>10%</f>
        <v>0.1</v>
      </c>
      <c r="D10" s="2">
        <v>6.6519627357587346E-2</v>
      </c>
      <c r="E10" s="2">
        <f>$D$10*Sheet1!$E$5</f>
        <v>5321.5701886069874</v>
      </c>
    </row>
    <row r="11" spans="1:10" x14ac:dyDescent="0.3">
      <c r="A11" s="2" t="s">
        <v>30</v>
      </c>
      <c r="B11" s="2">
        <f>0.5%</f>
        <v>5.0000000000000001E-3</v>
      </c>
      <c r="C11" s="2">
        <f>1%</f>
        <v>0.01</v>
      </c>
      <c r="D11" s="2">
        <v>7.6055139825548044E-3</v>
      </c>
      <c r="E11" s="2">
        <f>$D$11*Sheet1!$E$5</f>
        <v>608.44111860438431</v>
      </c>
    </row>
    <row r="12" spans="1:10" x14ac:dyDescent="0.3">
      <c r="A12" s="2" t="s">
        <v>31</v>
      </c>
      <c r="B12" s="2">
        <f>10%</f>
        <v>0.1</v>
      </c>
      <c r="C12" s="2">
        <f>20%</f>
        <v>0.2</v>
      </c>
      <c r="D12" s="2">
        <v>0.12499512219842353</v>
      </c>
      <c r="E12" s="2">
        <f>$D$12*$E$8</f>
        <v>203.84162774022863</v>
      </c>
    </row>
    <row r="13" spans="1:10" x14ac:dyDescent="0.3">
      <c r="A13" s="2" t="s">
        <v>32</v>
      </c>
      <c r="B13" s="2">
        <f>0%</f>
        <v>0</v>
      </c>
      <c r="C13" s="2">
        <f>6%</f>
        <v>0.06</v>
      </c>
      <c r="D13" s="2">
        <v>1.5328728775059322E-2</v>
      </c>
      <c r="E13" s="2">
        <f>$D$13*$I$1</f>
        <v>1532.8728775059321</v>
      </c>
    </row>
    <row r="14" spans="1:10" x14ac:dyDescent="0.3">
      <c r="A14" s="5" t="s">
        <v>33</v>
      </c>
      <c r="B14" s="5"/>
      <c r="C14" s="5"/>
      <c r="D14" s="5"/>
      <c r="E14" s="5">
        <v>67666.421813517067</v>
      </c>
    </row>
    <row r="16" spans="1:10" x14ac:dyDescent="0.3">
      <c r="A16" s="5" t="s">
        <v>34</v>
      </c>
      <c r="B16" s="5">
        <f>10%</f>
        <v>0.1</v>
      </c>
      <c r="C16" s="5">
        <f>20%</f>
        <v>0.2</v>
      </c>
      <c r="D16" s="5">
        <v>0.1</v>
      </c>
      <c r="E16" s="5">
        <f>$D$16*$I$1</f>
        <v>10000</v>
      </c>
    </row>
    <row r="17" spans="1:5" x14ac:dyDescent="0.3">
      <c r="A17" s="2"/>
      <c r="B17" s="2">
        <v>0</v>
      </c>
      <c r="C17" s="2">
        <v>0</v>
      </c>
      <c r="D17" s="2">
        <v>0</v>
      </c>
      <c r="E17" s="2"/>
    </row>
    <row r="18" spans="1:5" x14ac:dyDescent="0.3">
      <c r="A18" s="2" t="s">
        <v>35</v>
      </c>
      <c r="B18" s="2">
        <v>0</v>
      </c>
      <c r="C18" s="2">
        <v>0</v>
      </c>
      <c r="D18" s="2">
        <v>0</v>
      </c>
      <c r="E18" s="2"/>
    </row>
    <row r="19" spans="1:5" x14ac:dyDescent="0.3">
      <c r="A19" s="2" t="s">
        <v>36</v>
      </c>
      <c r="B19" s="2">
        <f>1%</f>
        <v>0.01</v>
      </c>
      <c r="C19" s="2">
        <f>4%</f>
        <v>0.04</v>
      </c>
      <c r="D19" s="2">
        <v>2.5004311099294421E-2</v>
      </c>
      <c r="E19" s="2">
        <f>$D$19*Sheet1!$E$5</f>
        <v>2000.3448879435537</v>
      </c>
    </row>
    <row r="20" spans="1:5" x14ac:dyDescent="0.3">
      <c r="A20" s="2" t="s">
        <v>37</v>
      </c>
      <c r="B20" s="2">
        <f>0.4%</f>
        <v>4.0000000000000001E-3</v>
      </c>
      <c r="C20" s="2">
        <f>1%</f>
        <v>0.01</v>
      </c>
      <c r="D20" s="2">
        <v>7.0007618775506037E-3</v>
      </c>
      <c r="E20" s="2">
        <f>$D$20*Sheet1!$E$5</f>
        <v>560.06095020404825</v>
      </c>
    </row>
    <row r="21" spans="1:5" x14ac:dyDescent="0.3">
      <c r="A21" s="2" t="s">
        <v>38</v>
      </c>
      <c r="B21" s="2">
        <f>8%</f>
        <v>0.08</v>
      </c>
      <c r="C21" s="2">
        <f>12%</f>
        <v>0.12</v>
      </c>
      <c r="D21" s="2">
        <v>0.09</v>
      </c>
      <c r="E21" s="2"/>
    </row>
    <row r="22" spans="1:5" x14ac:dyDescent="0.3">
      <c r="A22" s="2" t="s">
        <v>39</v>
      </c>
      <c r="B22" s="2">
        <f>0%</f>
        <v>0</v>
      </c>
      <c r="C22" s="2">
        <f>10%</f>
        <v>0.1</v>
      </c>
      <c r="D22" s="2">
        <v>7.439594161852621E-2</v>
      </c>
      <c r="E22" s="2">
        <f>$D$22*$I$1</f>
        <v>7439.5941618526213</v>
      </c>
    </row>
    <row r="23" spans="1:5" x14ac:dyDescent="0.3">
      <c r="A23" s="5" t="s">
        <v>40</v>
      </c>
      <c r="B23" s="5"/>
      <c r="C23" s="5"/>
      <c r="D23" s="5"/>
      <c r="E23" s="5">
        <v>10000</v>
      </c>
    </row>
    <row r="26" spans="1:5" x14ac:dyDescent="0.3">
      <c r="A26" s="5" t="s">
        <v>41</v>
      </c>
      <c r="B26" s="5">
        <f>5%</f>
        <v>0.05</v>
      </c>
      <c r="C26" s="5">
        <f>15%</f>
        <v>0.15</v>
      </c>
      <c r="D26" s="5">
        <v>0.05</v>
      </c>
      <c r="E26" s="5">
        <f>$D$26*$I$1</f>
        <v>5000</v>
      </c>
    </row>
    <row r="28" spans="1:5" x14ac:dyDescent="0.3">
      <c r="A28" s="13" t="s">
        <v>42</v>
      </c>
      <c r="B28" s="13"/>
      <c r="C28" s="13"/>
      <c r="D28" s="13"/>
      <c r="E28" s="13">
        <f>$E$26+$E$23+$E$14</f>
        <v>82666.421813517067</v>
      </c>
    </row>
    <row r="30" spans="1:5" x14ac:dyDescent="0.3">
      <c r="B30" s="6" t="s">
        <v>1</v>
      </c>
      <c r="C30" s="7"/>
      <c r="D30" s="8"/>
      <c r="E30" s="5" t="s">
        <v>13</v>
      </c>
    </row>
    <row r="31" spans="1:5" x14ac:dyDescent="0.3">
      <c r="B31" s="22" t="s">
        <v>2</v>
      </c>
      <c r="C31" s="23" t="s">
        <v>3</v>
      </c>
      <c r="D31" s="22" t="s">
        <v>12</v>
      </c>
      <c r="E31" s="22"/>
    </row>
    <row r="32" spans="1:5" x14ac:dyDescent="0.3">
      <c r="A32" s="13" t="s">
        <v>43</v>
      </c>
      <c r="B32" s="2">
        <f>15%</f>
        <v>0.15</v>
      </c>
      <c r="C32" s="2">
        <f>25%</f>
        <v>0.25</v>
      </c>
      <c r="D32" s="2">
        <v>0.17333586218576122</v>
      </c>
      <c r="E32" s="2">
        <f>D32*$I$1</f>
        <v>17333.586218576122</v>
      </c>
    </row>
    <row r="33" spans="1:5" x14ac:dyDescent="0.3">
      <c r="A33" s="5" t="s">
        <v>44</v>
      </c>
      <c r="B33" s="2">
        <f>2%</f>
        <v>0.02</v>
      </c>
      <c r="C33" s="2">
        <f>5%</f>
        <v>0.05</v>
      </c>
      <c r="D33" s="2">
        <v>0.02</v>
      </c>
      <c r="E33" s="2">
        <f t="shared" ref="E33:E35" si="0">D33*$I$1</f>
        <v>2000</v>
      </c>
    </row>
    <row r="34" spans="1:5" x14ac:dyDescent="0.3">
      <c r="A34" s="5" t="s">
        <v>45</v>
      </c>
      <c r="B34" s="2">
        <f>2%</f>
        <v>0.02</v>
      </c>
      <c r="C34" s="2">
        <f>20%</f>
        <v>0.2</v>
      </c>
      <c r="D34" s="2">
        <v>0.02</v>
      </c>
      <c r="E34" s="2">
        <f t="shared" si="0"/>
        <v>2000</v>
      </c>
    </row>
    <row r="35" spans="1:5" x14ac:dyDescent="0.3">
      <c r="A35" s="5" t="s">
        <v>46</v>
      </c>
      <c r="B35" s="2">
        <v>0.04</v>
      </c>
      <c r="C35" s="2">
        <v>0.06</v>
      </c>
      <c r="D35" s="2">
        <v>0.04</v>
      </c>
      <c r="E35" s="2">
        <f t="shared" si="0"/>
        <v>4000</v>
      </c>
    </row>
    <row r="37" spans="1:5" x14ac:dyDescent="0.3">
      <c r="A37" s="13" t="s">
        <v>47</v>
      </c>
      <c r="B37" s="13"/>
      <c r="C37" s="13"/>
      <c r="D37" s="13"/>
      <c r="E37" s="13">
        <v>17333.578218576124</v>
      </c>
    </row>
    <row r="39" spans="1:5" x14ac:dyDescent="0.3">
      <c r="A39" s="5" t="s">
        <v>48</v>
      </c>
      <c r="B39" s="5"/>
      <c r="C39" s="5"/>
      <c r="D39" s="5"/>
      <c r="E39" s="5">
        <f>$E$37+$E$28</f>
        <v>100000.00003209319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C7C9-4C9E-49A8-A814-E2F41B71FE2F}">
  <dimension ref="A1:I73"/>
  <sheetViews>
    <sheetView topLeftCell="A13" workbookViewId="0">
      <selection activeCell="C38" sqref="C38"/>
    </sheetView>
  </sheetViews>
  <sheetFormatPr defaultRowHeight="14.4" x14ac:dyDescent="0.3"/>
  <cols>
    <col min="1" max="1" width="56.21875" customWidth="1"/>
    <col min="2" max="2" width="11.44140625" customWidth="1"/>
    <col min="3" max="3" width="11.33203125" customWidth="1"/>
    <col min="4" max="5" width="17.21875" customWidth="1"/>
    <col min="7" max="7" width="28" customWidth="1"/>
    <col min="8" max="8" width="9.77734375" customWidth="1"/>
    <col min="9" max="9" width="24" customWidth="1"/>
  </cols>
  <sheetData>
    <row r="1" spans="1:9" x14ac:dyDescent="0.3">
      <c r="G1" s="1" t="s">
        <v>49</v>
      </c>
      <c r="H1">
        <v>100000</v>
      </c>
      <c r="I1" t="s">
        <v>21</v>
      </c>
    </row>
    <row r="2" spans="1:9" x14ac:dyDescent="0.3">
      <c r="B2" s="19" t="s">
        <v>1</v>
      </c>
      <c r="C2" s="20"/>
      <c r="D2" s="21"/>
      <c r="E2" s="5" t="s">
        <v>13</v>
      </c>
    </row>
    <row r="3" spans="1:9" x14ac:dyDescent="0.3">
      <c r="B3" s="3" t="s">
        <v>2</v>
      </c>
      <c r="C3" s="4" t="s">
        <v>3</v>
      </c>
      <c r="D3" s="3" t="s">
        <v>12</v>
      </c>
      <c r="E3" s="3"/>
    </row>
    <row r="4" spans="1:9" x14ac:dyDescent="0.3">
      <c r="A4" s="13" t="s">
        <v>51</v>
      </c>
      <c r="B4" s="14">
        <f>10%</f>
        <v>0.1</v>
      </c>
      <c r="C4" s="14">
        <v>0.2</v>
      </c>
      <c r="D4">
        <v>0.2</v>
      </c>
      <c r="E4">
        <f>H1*$D$4</f>
        <v>20000</v>
      </c>
    </row>
    <row r="5" spans="1:9" x14ac:dyDescent="0.3">
      <c r="A5" s="13" t="s">
        <v>52</v>
      </c>
      <c r="B5">
        <v>0</v>
      </c>
      <c r="C5" s="14">
        <v>0.8</v>
      </c>
      <c r="D5">
        <v>0.8</v>
      </c>
      <c r="E5">
        <f>H1*$D$5</f>
        <v>80000</v>
      </c>
    </row>
    <row r="7" spans="1:9" x14ac:dyDescent="0.3">
      <c r="A7" s="13" t="s">
        <v>0</v>
      </c>
      <c r="B7" s="19" t="s">
        <v>1</v>
      </c>
      <c r="C7" s="20"/>
      <c r="D7" s="21"/>
      <c r="E7" s="5" t="s">
        <v>13</v>
      </c>
    </row>
    <row r="8" spans="1:9" x14ac:dyDescent="0.3">
      <c r="B8" s="3" t="s">
        <v>2</v>
      </c>
      <c r="C8" s="4" t="s">
        <v>3</v>
      </c>
      <c r="D8" s="3" t="s">
        <v>12</v>
      </c>
      <c r="E8" s="3"/>
    </row>
    <row r="9" spans="1:9" x14ac:dyDescent="0.3">
      <c r="A9" t="s">
        <v>4</v>
      </c>
      <c r="B9" s="15">
        <v>0.15</v>
      </c>
      <c r="C9" s="16">
        <v>0.4</v>
      </c>
      <c r="D9" s="2">
        <v>0.23927228120613753</v>
      </c>
      <c r="E9" s="2">
        <f>$E$5*D9</f>
        <v>19141.782496491003</v>
      </c>
    </row>
    <row r="10" spans="1:9" x14ac:dyDescent="0.3">
      <c r="A10" t="s">
        <v>5</v>
      </c>
      <c r="B10" s="15">
        <v>0.25</v>
      </c>
      <c r="C10" s="16">
        <v>0.55000000000000004</v>
      </c>
      <c r="D10" s="2">
        <v>0.26671245019817313</v>
      </c>
      <c r="E10" s="2">
        <f t="shared" ref="E10:E16" si="0">D10*$E$9</f>
        <v>5105.3517107996186</v>
      </c>
    </row>
    <row r="11" spans="1:9" x14ac:dyDescent="0.3">
      <c r="A11" t="s">
        <v>6</v>
      </c>
      <c r="B11" s="15">
        <v>0.08</v>
      </c>
      <c r="C11" s="16">
        <v>0.5</v>
      </c>
      <c r="D11" s="2">
        <v>8.2713513747688441E-2</v>
      </c>
      <c r="E11" s="2">
        <f t="shared" si="0"/>
        <v>1583.2840896787707</v>
      </c>
    </row>
    <row r="12" spans="1:9" x14ac:dyDescent="0.3">
      <c r="A12" t="s">
        <v>7</v>
      </c>
      <c r="B12" s="15">
        <v>0.1</v>
      </c>
      <c r="C12" s="16">
        <v>0.8</v>
      </c>
      <c r="D12" s="2">
        <v>0.10387263597160327</v>
      </c>
      <c r="E12" s="2">
        <f t="shared" si="0"/>
        <v>1988.3074051056174</v>
      </c>
    </row>
    <row r="13" spans="1:9" x14ac:dyDescent="0.3">
      <c r="A13" t="s">
        <v>8</v>
      </c>
      <c r="B13" s="15">
        <v>0.1</v>
      </c>
      <c r="C13" s="16">
        <v>0.4</v>
      </c>
      <c r="D13" s="2">
        <v>0.10387263597160329</v>
      </c>
      <c r="E13" s="2">
        <f t="shared" si="0"/>
        <v>1988.3074051056176</v>
      </c>
    </row>
    <row r="14" spans="1:9" x14ac:dyDescent="0.3">
      <c r="A14" t="s">
        <v>9</v>
      </c>
      <c r="B14" s="15">
        <v>0.1</v>
      </c>
      <c r="C14" s="16">
        <v>0.7</v>
      </c>
      <c r="D14" s="2">
        <v>0.10797980798584342</v>
      </c>
      <c r="E14" s="2">
        <f t="shared" si="0"/>
        <v>2066.9259984778769</v>
      </c>
    </row>
    <row r="15" spans="1:9" x14ac:dyDescent="0.3">
      <c r="A15" t="s">
        <v>10</v>
      </c>
      <c r="B15" s="15">
        <v>0.4</v>
      </c>
      <c r="C15" s="16">
        <v>1</v>
      </c>
      <c r="D15" s="2">
        <v>0.43277156283783685</v>
      </c>
      <c r="E15" s="2">
        <f t="shared" si="0"/>
        <v>8284.0191265083613</v>
      </c>
    </row>
    <row r="16" spans="1:9" x14ac:dyDescent="0.3">
      <c r="A16" t="s">
        <v>11</v>
      </c>
      <c r="B16" s="15">
        <v>0.04</v>
      </c>
      <c r="C16" s="16">
        <v>0.08</v>
      </c>
      <c r="D16" s="2">
        <v>4.2110681507940631E-2</v>
      </c>
      <c r="E16" s="2">
        <f t="shared" si="0"/>
        <v>806.0735062040053</v>
      </c>
    </row>
    <row r="17" spans="1:5" x14ac:dyDescent="0.3">
      <c r="B17" s="17"/>
      <c r="C17" s="18"/>
      <c r="D17" s="17"/>
      <c r="E17" s="17"/>
    </row>
    <row r="18" spans="1:5" x14ac:dyDescent="0.3">
      <c r="A18" s="5" t="s">
        <v>22</v>
      </c>
      <c r="B18" s="2"/>
      <c r="C18" s="2"/>
      <c r="D18" s="2"/>
      <c r="E18" s="5">
        <f>SUM(E9:E17)</f>
        <v>40964.051738370872</v>
      </c>
    </row>
    <row r="21" spans="1:5" x14ac:dyDescent="0.3">
      <c r="A21" s="13" t="s">
        <v>14</v>
      </c>
      <c r="B21" s="6" t="s">
        <v>1</v>
      </c>
      <c r="C21" s="7"/>
      <c r="D21" s="8"/>
      <c r="E21" s="5" t="s">
        <v>13</v>
      </c>
    </row>
    <row r="22" spans="1:5" x14ac:dyDescent="0.3">
      <c r="B22" s="3" t="s">
        <v>2</v>
      </c>
      <c r="C22" s="4" t="s">
        <v>3</v>
      </c>
      <c r="D22" s="3" t="s">
        <v>12</v>
      </c>
      <c r="E22" s="3"/>
    </row>
    <row r="23" spans="1:5" x14ac:dyDescent="0.3">
      <c r="A23" t="s">
        <v>15</v>
      </c>
      <c r="B23" s="15">
        <v>0.05</v>
      </c>
      <c r="C23" s="15">
        <v>0.3</v>
      </c>
      <c r="D23" s="2">
        <v>0.19561835278220646</v>
      </c>
      <c r="E23" s="2">
        <f>E18*$D$23</f>
        <v>8013.3203243451908</v>
      </c>
    </row>
    <row r="24" spans="1:5" x14ac:dyDescent="0.3">
      <c r="A24" t="s">
        <v>16</v>
      </c>
      <c r="B24" s="15">
        <v>0.01</v>
      </c>
      <c r="C24" s="15">
        <v>0.03</v>
      </c>
      <c r="D24" s="2">
        <v>2.4929643456153963E-2</v>
      </c>
      <c r="E24" s="2">
        <f>H1*$D$24</f>
        <v>2492.9643456153963</v>
      </c>
    </row>
    <row r="25" spans="1:5" x14ac:dyDescent="0.3">
      <c r="A25" t="s">
        <v>17</v>
      </c>
      <c r="B25" s="15">
        <v>0.1</v>
      </c>
      <c r="C25" s="15">
        <v>0.2</v>
      </c>
      <c r="D25" s="2">
        <v>0.16377462912934274</v>
      </c>
      <c r="E25" s="2">
        <f>H1*$D$25</f>
        <v>16377.462912934274</v>
      </c>
    </row>
    <row r="26" spans="1:5" x14ac:dyDescent="0.3">
      <c r="A26" t="s">
        <v>18</v>
      </c>
      <c r="B26" s="15">
        <v>0.05</v>
      </c>
      <c r="C26" s="15">
        <v>0.15</v>
      </c>
      <c r="D26" s="2">
        <v>0.12152199833527207</v>
      </c>
      <c r="E26" s="2">
        <f>H1*$D$26</f>
        <v>12152.199833527207</v>
      </c>
    </row>
    <row r="28" spans="1:5" x14ac:dyDescent="0.3">
      <c r="A28" s="5" t="s">
        <v>19</v>
      </c>
      <c r="B28" s="2"/>
      <c r="C28" s="2"/>
      <c r="D28" s="2"/>
      <c r="E28" s="5">
        <f>SUM(E23:E27)</f>
        <v>39035.947416422066</v>
      </c>
    </row>
    <row r="30" spans="1:5" x14ac:dyDescent="0.3">
      <c r="A30" s="5" t="s">
        <v>20</v>
      </c>
      <c r="B30" s="2"/>
      <c r="C30" s="2"/>
      <c r="D30" s="2"/>
      <c r="E30" s="5">
        <f>E18+E28</f>
        <v>79999.999154792938</v>
      </c>
    </row>
    <row r="31" spans="1:5" x14ac:dyDescent="0.3">
      <c r="A31" s="5" t="s">
        <v>53</v>
      </c>
      <c r="B31" s="2"/>
      <c r="C31" s="2"/>
      <c r="D31" s="2"/>
      <c r="E31" s="5">
        <f>$E$30+$E$4</f>
        <v>99999.999154792938</v>
      </c>
    </row>
    <row r="73" spans="1:1" x14ac:dyDescent="0.3">
      <c r="A73" s="1" t="s">
        <v>54</v>
      </c>
    </row>
  </sheetData>
  <mergeCells count="2">
    <mergeCell ref="B2:D2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mayankbaranwal2005@gmail.com</dc:creator>
  <cp:lastModifiedBy>mayankbaranwal2005@gmail.com</cp:lastModifiedBy>
  <dcterms:created xsi:type="dcterms:W3CDTF">2026-04-14T10:36:10Z</dcterms:created>
  <dcterms:modified xsi:type="dcterms:W3CDTF">2026-04-17T14:51:06Z</dcterms:modified>
</cp:coreProperties>
</file>